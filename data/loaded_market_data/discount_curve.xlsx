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guilb\Desktop\Quantum-CVA\data\loaded_market_data\"/>
    </mc:Choice>
  </mc:AlternateContent>
  <xr:revisionPtr revIDLastSave="0" documentId="13_ncr:1_{F57A2CA9-88E1-4912-959B-CE9F090AC2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iscount_curve_EU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" l="1"/>
  <c r="B4" i="1"/>
  <c r="C4" i="1" s="1"/>
  <c r="G4" i="1" s="1"/>
  <c r="B20" i="1"/>
  <c r="C20" i="1" s="1"/>
  <c r="G20" i="1" s="1"/>
  <c r="B19" i="1"/>
  <c r="C19" i="1" s="1"/>
  <c r="G19" i="1" s="1"/>
  <c r="B18" i="1"/>
  <c r="C18" i="1" s="1"/>
  <c r="G18" i="1" s="1"/>
  <c r="C21" i="1"/>
  <c r="C22" i="1"/>
  <c r="C23" i="1"/>
  <c r="G23" i="1" s="1"/>
  <c r="C24" i="1"/>
  <c r="C25" i="1"/>
  <c r="C26" i="1"/>
  <c r="G26" i="1" s="1"/>
  <c r="C27" i="1"/>
  <c r="G27" i="1" s="1"/>
  <c r="C28" i="1"/>
  <c r="G28" i="1" s="1"/>
  <c r="C29" i="1"/>
  <c r="C30" i="1"/>
  <c r="C31" i="1"/>
  <c r="C32" i="1"/>
  <c r="C33" i="1"/>
  <c r="C34" i="1"/>
  <c r="G34" i="1" s="1"/>
  <c r="C35" i="1"/>
  <c r="G35" i="1" s="1"/>
  <c r="C36" i="1"/>
  <c r="G36" i="1" s="1"/>
  <c r="C37" i="1"/>
  <c r="C38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21" i="1"/>
  <c r="G22" i="1"/>
  <c r="G24" i="1"/>
  <c r="G25" i="1"/>
  <c r="G29" i="1"/>
  <c r="G30" i="1"/>
  <c r="G31" i="1"/>
  <c r="G32" i="1"/>
  <c r="G33" i="1"/>
  <c r="G37" i="1"/>
  <c r="G38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3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" i="1"/>
</calcChain>
</file>

<file path=xl/sharedStrings.xml><?xml version="1.0" encoding="utf-8"?>
<sst xmlns="http://schemas.openxmlformats.org/spreadsheetml/2006/main" count="50" uniqueCount="47">
  <si>
    <t>Name</t>
  </si>
  <si>
    <t>EURESTOIS= - Realtime</t>
  </si>
  <si>
    <t/>
  </si>
  <si>
    <t>Maturity</t>
  </si>
  <si>
    <t>Bid</t>
  </si>
  <si>
    <t>Ask</t>
  </si>
  <si>
    <t>7D</t>
  </si>
  <si>
    <t>14D</t>
  </si>
  <si>
    <t>21D</t>
  </si>
  <si>
    <t>1M</t>
  </si>
  <si>
    <t>2M</t>
  </si>
  <si>
    <t>3M</t>
  </si>
  <si>
    <t>4M</t>
  </si>
  <si>
    <t>5M</t>
  </si>
  <si>
    <t>6M</t>
  </si>
  <si>
    <t>7M</t>
  </si>
  <si>
    <t>8M</t>
  </si>
  <si>
    <t>9M</t>
  </si>
  <si>
    <t>10M</t>
  </si>
  <si>
    <t>11M</t>
  </si>
  <si>
    <t>1Y</t>
  </si>
  <si>
    <t>1Y3M</t>
  </si>
  <si>
    <t>1Y6M</t>
  </si>
  <si>
    <t>1Y9M</t>
  </si>
  <si>
    <t>2Y</t>
  </si>
  <si>
    <t>3Y</t>
  </si>
  <si>
    <t>4Y</t>
  </si>
  <si>
    <t>5Y</t>
  </si>
  <si>
    <t>6Y</t>
  </si>
  <si>
    <t>7Y</t>
  </si>
  <si>
    <t>8Y</t>
  </si>
  <si>
    <t>9Y</t>
  </si>
  <si>
    <t>10Y</t>
  </si>
  <si>
    <t>11Y</t>
  </si>
  <si>
    <t>12Y</t>
  </si>
  <si>
    <t>15Y</t>
  </si>
  <si>
    <t>20Y</t>
  </si>
  <si>
    <t>25Y</t>
  </si>
  <si>
    <t>30Y</t>
  </si>
  <si>
    <t>40Y</t>
  </si>
  <si>
    <t>50Y</t>
  </si>
  <si>
    <t>60Y</t>
  </si>
  <si>
    <t>Mid</t>
  </si>
  <si>
    <t>Discount Factor</t>
  </si>
  <si>
    <t xml:space="preserve">DATE </t>
  </si>
  <si>
    <t>Maturity Date</t>
  </si>
  <si>
    <t>Exact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</si>
</sst>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8"/>
  <sheetViews>
    <sheetView tabSelected="1" workbookViewId="0">
      <selection activeCell="E15" sqref="E15"/>
    </sheetView>
  </sheetViews>
  <sheetFormatPr baseColWidth="10" defaultRowHeight="15.75" x14ac:dyDescent="0.25"/>
  <cols>
    <col min="2" max="2" width="13.5" style="2" bestFit="1" customWidth="1"/>
    <col min="4" max="4" width="19.875" bestFit="1" customWidth="1"/>
    <col min="5" max="5" width="16" bestFit="1" customWidth="1"/>
    <col min="7" max="7" width="13.5" bestFit="1" customWidth="1"/>
    <col min="13" max="13" width="16.125" bestFit="1" customWidth="1"/>
  </cols>
  <sheetData>
    <row r="1" spans="1:15" x14ac:dyDescent="0.25">
      <c r="A1" t="s">
        <v>0</v>
      </c>
      <c r="D1" s="1" t="s">
        <v>1</v>
      </c>
      <c r="E1" t="s">
        <v>2</v>
      </c>
      <c r="F1" t="s">
        <v>2</v>
      </c>
      <c r="G1" t="s">
        <v>2</v>
      </c>
      <c r="H1" t="s">
        <v>2</v>
      </c>
      <c r="O1" s="3" t="s">
        <v>44</v>
      </c>
    </row>
    <row r="2" spans="1:15" x14ac:dyDescent="0.25">
      <c r="A2" t="s">
        <v>3</v>
      </c>
      <c r="B2" s="2" t="s">
        <v>45</v>
      </c>
      <c r="C2" t="s">
        <v>46</v>
      </c>
      <c r="D2" t="s">
        <v>4</v>
      </c>
      <c r="E2" t="s">
        <v>5</v>
      </c>
      <c r="F2" t="s">
        <v>42</v>
      </c>
      <c r="G2" t="s">
        <v>43</v>
      </c>
      <c r="O2" s="2">
        <v>46096</v>
      </c>
    </row>
    <row r="3" spans="1:15" x14ac:dyDescent="0.25">
      <c r="A3" t="s">
        <v>6</v>
      </c>
      <c r="B3" s="2">
        <f>IF(RIGHT(A3, 1)="D", $O$2 + VALUE(LEFT(A3, LEN(A3)-1)), IF(RIGHT(A3, 1)="M", EDATE($O$2, VALUE(LEFT(A3, LEN(A3)-1))), IF(RIGHT(A3, 1)="Y", EDATE($O$2, VALUE(LEFT(A3, LEN(A3)-1))*12), "MANUAL")))</f>
        <v>46103</v>
      </c>
      <c r="C3">
        <f>B3 - $O$2</f>
        <v>7</v>
      </c>
      <c r="D3">
        <v>1.92</v>
      </c>
      <c r="E3">
        <v>1.95</v>
      </c>
      <c r="F3">
        <f>AVERAGE(D3,E3)</f>
        <v>1.9350000000000001</v>
      </c>
      <c r="G3">
        <f>1 / (1 + (F3 / 100) * (C3 / 360))</f>
        <v>0.9996238915108191</v>
      </c>
    </row>
    <row r="4" spans="1:15" x14ac:dyDescent="0.25">
      <c r="A4" t="s">
        <v>7</v>
      </c>
      <c r="B4" s="2">
        <f>IF(RIGHT(A4, 1)="D", $O$2 + VALUE(LEFT(A4, LEN(A4)-1)), IF(RIGHT(A4, 1)="M", EDATE($O$2, VALUE(LEFT(A4, LEN(A4)-1))), IF(RIGHT(A4, 1)="Y", EDATE($O$2, VALUE(LEFT(A4, LEN(A4)-1))*12), "MANUAL")))</f>
        <v>46110</v>
      </c>
      <c r="C4">
        <f t="shared" ref="C4:C38" si="0">B4 - $O$2</f>
        <v>14</v>
      </c>
      <c r="D4">
        <v>1.92</v>
      </c>
      <c r="E4">
        <v>1.9610000000000001</v>
      </c>
      <c r="F4">
        <f t="shared" ref="F4:F38" si="1">AVERAGE(D4,E4)</f>
        <v>1.9405000000000001</v>
      </c>
      <c r="G4">
        <f t="shared" ref="G4:G38" si="2">1 / (1 + (F4 / 100) * (C4 / 360))</f>
        <v>0.99924593016153618</v>
      </c>
    </row>
    <row r="5" spans="1:15" x14ac:dyDescent="0.25">
      <c r="A5" t="s">
        <v>8</v>
      </c>
      <c r="B5" s="2">
        <f t="shared" ref="B4:B38" si="3">IF(RIGHT(A5, 1)="D", $O$2 + VALUE(LEFT(A5, LEN(A5)-1)), IF(RIGHT(A5, 1)="M", EDATE($O$2, VALUE(LEFT(A5, LEN(A5)-1))), IF(RIGHT(A5, 1)="Y", EDATE($O$2, VALUE(LEFT(A5, LEN(A5)-1))*12), "MANUAL")))</f>
        <v>46117</v>
      </c>
      <c r="C5">
        <f t="shared" si="0"/>
        <v>21</v>
      </c>
      <c r="D5">
        <v>1.9219999999999999</v>
      </c>
      <c r="E5">
        <v>1.9630000000000001</v>
      </c>
      <c r="F5">
        <f t="shared" si="1"/>
        <v>1.9424999999999999</v>
      </c>
      <c r="G5">
        <f t="shared" si="2"/>
        <v>0.99886815751901137</v>
      </c>
    </row>
    <row r="6" spans="1:15" x14ac:dyDescent="0.25">
      <c r="A6" t="s">
        <v>9</v>
      </c>
      <c r="B6" s="2">
        <f t="shared" si="3"/>
        <v>46127</v>
      </c>
      <c r="C6">
        <f t="shared" si="0"/>
        <v>31</v>
      </c>
      <c r="D6">
        <v>1.9239999999999999</v>
      </c>
      <c r="E6">
        <v>1.9650000000000001</v>
      </c>
      <c r="F6">
        <f t="shared" si="1"/>
        <v>1.9445000000000001</v>
      </c>
      <c r="G6">
        <f t="shared" si="2"/>
        <v>0.99832836847534689</v>
      </c>
    </row>
    <row r="7" spans="1:15" x14ac:dyDescent="0.25">
      <c r="A7" t="s">
        <v>10</v>
      </c>
      <c r="B7" s="2">
        <f t="shared" si="3"/>
        <v>46157</v>
      </c>
      <c r="C7">
        <f t="shared" si="0"/>
        <v>61</v>
      </c>
      <c r="D7">
        <v>1.9410000000000001</v>
      </c>
      <c r="E7">
        <v>1.982</v>
      </c>
      <c r="F7">
        <f t="shared" si="1"/>
        <v>1.9615</v>
      </c>
      <c r="G7">
        <f t="shared" si="2"/>
        <v>0.99668735729634594</v>
      </c>
    </row>
    <row r="8" spans="1:15" x14ac:dyDescent="0.25">
      <c r="A8" t="s">
        <v>11</v>
      </c>
      <c r="B8" s="2">
        <f t="shared" si="3"/>
        <v>46188</v>
      </c>
      <c r="C8">
        <f t="shared" si="0"/>
        <v>92</v>
      </c>
      <c r="D8">
        <v>1.9610000000000001</v>
      </c>
      <c r="E8">
        <v>2.0019999999999998</v>
      </c>
      <c r="F8">
        <f t="shared" si="1"/>
        <v>1.9815</v>
      </c>
      <c r="G8">
        <f t="shared" si="2"/>
        <v>0.99496167988003426</v>
      </c>
    </row>
    <row r="9" spans="1:15" x14ac:dyDescent="0.25">
      <c r="A9" t="s">
        <v>12</v>
      </c>
      <c r="B9" s="2">
        <f t="shared" si="3"/>
        <v>46218</v>
      </c>
      <c r="C9">
        <f t="shared" si="0"/>
        <v>122</v>
      </c>
      <c r="D9">
        <v>1.998</v>
      </c>
      <c r="E9">
        <v>2.0390000000000001</v>
      </c>
      <c r="F9">
        <f t="shared" si="1"/>
        <v>2.0185</v>
      </c>
      <c r="G9">
        <f t="shared" si="2"/>
        <v>0.99320600193283415</v>
      </c>
    </row>
    <row r="10" spans="1:15" x14ac:dyDescent="0.25">
      <c r="A10" t="s">
        <v>13</v>
      </c>
      <c r="B10" s="2">
        <f t="shared" si="3"/>
        <v>46249</v>
      </c>
      <c r="C10">
        <f t="shared" si="0"/>
        <v>153</v>
      </c>
      <c r="D10">
        <v>2.0350000000000001</v>
      </c>
      <c r="E10">
        <v>2.0760000000000001</v>
      </c>
      <c r="F10">
        <f t="shared" si="1"/>
        <v>2.0555000000000003</v>
      </c>
      <c r="G10">
        <f t="shared" si="2"/>
        <v>0.9913397796028619</v>
      </c>
    </row>
    <row r="11" spans="1:15" x14ac:dyDescent="0.25">
      <c r="A11" t="s">
        <v>14</v>
      </c>
      <c r="B11" s="2">
        <f t="shared" si="3"/>
        <v>46280</v>
      </c>
      <c r="C11">
        <f t="shared" si="0"/>
        <v>184</v>
      </c>
      <c r="D11">
        <v>2.0659999999999998</v>
      </c>
      <c r="E11">
        <v>2.1070000000000002</v>
      </c>
      <c r="F11">
        <f t="shared" si="1"/>
        <v>2.0865</v>
      </c>
      <c r="G11">
        <f t="shared" si="2"/>
        <v>0.98944819463633316</v>
      </c>
    </row>
    <row r="12" spans="1:15" x14ac:dyDescent="0.25">
      <c r="A12" t="s">
        <v>15</v>
      </c>
      <c r="B12" s="2">
        <f t="shared" si="3"/>
        <v>46310</v>
      </c>
      <c r="C12">
        <f t="shared" si="0"/>
        <v>214</v>
      </c>
      <c r="D12">
        <v>2.1059999999999999</v>
      </c>
      <c r="E12">
        <v>2.1469999999999998</v>
      </c>
      <c r="F12">
        <f t="shared" si="1"/>
        <v>2.1265000000000001</v>
      </c>
      <c r="G12">
        <f t="shared" si="2"/>
        <v>0.98751693557255726</v>
      </c>
    </row>
    <row r="13" spans="1:15" x14ac:dyDescent="0.25">
      <c r="A13" t="s">
        <v>16</v>
      </c>
      <c r="B13" s="2">
        <f t="shared" si="3"/>
        <v>46341</v>
      </c>
      <c r="C13">
        <f t="shared" si="0"/>
        <v>245</v>
      </c>
      <c r="D13">
        <v>2.1360000000000001</v>
      </c>
      <c r="E13">
        <v>2.177</v>
      </c>
      <c r="F13">
        <f t="shared" si="1"/>
        <v>2.1565000000000003</v>
      </c>
      <c r="G13">
        <f t="shared" si="2"/>
        <v>0.98553609433551492</v>
      </c>
    </row>
    <row r="14" spans="1:15" x14ac:dyDescent="0.25">
      <c r="A14" t="s">
        <v>17</v>
      </c>
      <c r="B14" s="2">
        <f t="shared" si="3"/>
        <v>46371</v>
      </c>
      <c r="C14">
        <f t="shared" si="0"/>
        <v>275</v>
      </c>
      <c r="D14">
        <v>2.1640000000000001</v>
      </c>
      <c r="E14">
        <v>2.2050000000000001</v>
      </c>
      <c r="F14">
        <f t="shared" si="1"/>
        <v>2.1844999999999999</v>
      </c>
      <c r="G14">
        <f t="shared" si="2"/>
        <v>0.98358673783554218</v>
      </c>
    </row>
    <row r="15" spans="1:15" x14ac:dyDescent="0.25">
      <c r="A15" t="s">
        <v>18</v>
      </c>
      <c r="B15" s="2">
        <f t="shared" si="3"/>
        <v>46402</v>
      </c>
      <c r="C15">
        <f t="shared" si="0"/>
        <v>306</v>
      </c>
      <c r="D15">
        <v>2.1920000000000002</v>
      </c>
      <c r="E15">
        <v>2.2330000000000001</v>
      </c>
      <c r="F15">
        <f t="shared" si="1"/>
        <v>2.2125000000000004</v>
      </c>
      <c r="G15">
        <f t="shared" si="2"/>
        <v>0.98154089651491638</v>
      </c>
    </row>
    <row r="16" spans="1:15" x14ac:dyDescent="0.25">
      <c r="A16" t="s">
        <v>19</v>
      </c>
      <c r="B16" s="2">
        <f t="shared" si="3"/>
        <v>46433</v>
      </c>
      <c r="C16">
        <f t="shared" si="0"/>
        <v>337</v>
      </c>
      <c r="D16">
        <v>2.2149999999999999</v>
      </c>
      <c r="E16">
        <v>2.2559999999999998</v>
      </c>
      <c r="F16">
        <f t="shared" si="1"/>
        <v>2.2355</v>
      </c>
      <c r="G16">
        <f t="shared" si="2"/>
        <v>0.97950218896292318</v>
      </c>
    </row>
    <row r="17" spans="1:7" x14ac:dyDescent="0.25">
      <c r="A17" t="s">
        <v>20</v>
      </c>
      <c r="B17" s="2">
        <f t="shared" si="3"/>
        <v>46461</v>
      </c>
      <c r="C17">
        <f t="shared" si="0"/>
        <v>365</v>
      </c>
      <c r="D17">
        <v>2.234</v>
      </c>
      <c r="E17">
        <v>2.2749999999999999</v>
      </c>
      <c r="F17">
        <f t="shared" si="1"/>
        <v>2.2545000000000002</v>
      </c>
      <c r="G17">
        <f t="shared" si="2"/>
        <v>0.97765269254717024</v>
      </c>
    </row>
    <row r="18" spans="1:7" x14ac:dyDescent="0.25">
      <c r="A18" t="s">
        <v>21</v>
      </c>
      <c r="B18" s="2">
        <f>EDATE($O$2, 15)</f>
        <v>46553</v>
      </c>
      <c r="C18">
        <f t="shared" si="0"/>
        <v>457</v>
      </c>
      <c r="D18">
        <v>2.2799999999999998</v>
      </c>
      <c r="E18">
        <v>2.3210000000000002</v>
      </c>
      <c r="F18">
        <f t="shared" si="1"/>
        <v>2.3005</v>
      </c>
      <c r="G18">
        <f t="shared" si="2"/>
        <v>0.97162507951637966</v>
      </c>
    </row>
    <row r="19" spans="1:7" x14ac:dyDescent="0.25">
      <c r="A19" t="s">
        <v>22</v>
      </c>
      <c r="B19" s="2">
        <f>EDATE($O$2, 18)</f>
        <v>46645</v>
      </c>
      <c r="C19">
        <f t="shared" si="0"/>
        <v>549</v>
      </c>
      <c r="D19">
        <v>2.3130000000000002</v>
      </c>
      <c r="E19">
        <v>2.3540000000000001</v>
      </c>
      <c r="F19">
        <f t="shared" si="1"/>
        <v>2.3334999999999999</v>
      </c>
      <c r="G19">
        <f t="shared" si="2"/>
        <v>0.96563696371389773</v>
      </c>
    </row>
    <row r="20" spans="1:7" x14ac:dyDescent="0.25">
      <c r="A20" t="s">
        <v>23</v>
      </c>
      <c r="B20" s="2">
        <f>EDATE($O$2, 21)</f>
        <v>46736</v>
      </c>
      <c r="C20">
        <f t="shared" si="0"/>
        <v>640</v>
      </c>
      <c r="D20">
        <v>2.3450000000000002</v>
      </c>
      <c r="E20">
        <v>2.3650000000000002</v>
      </c>
      <c r="F20">
        <f t="shared" si="1"/>
        <v>2.3550000000000004</v>
      </c>
      <c r="G20">
        <f t="shared" si="2"/>
        <v>0.95981571538264654</v>
      </c>
    </row>
    <row r="21" spans="1:7" x14ac:dyDescent="0.25">
      <c r="A21" t="s">
        <v>24</v>
      </c>
      <c r="B21" s="2">
        <f t="shared" si="3"/>
        <v>46827</v>
      </c>
      <c r="C21">
        <f t="shared" si="0"/>
        <v>731</v>
      </c>
      <c r="D21">
        <v>2.3559999999999999</v>
      </c>
      <c r="E21">
        <v>2.3969999999999998</v>
      </c>
      <c r="F21">
        <f t="shared" si="1"/>
        <v>2.3765000000000001</v>
      </c>
      <c r="G21">
        <f t="shared" si="2"/>
        <v>0.95396530452036588</v>
      </c>
    </row>
    <row r="22" spans="1:7" x14ac:dyDescent="0.25">
      <c r="A22" t="s">
        <v>25</v>
      </c>
      <c r="B22" s="2">
        <f t="shared" si="3"/>
        <v>47192</v>
      </c>
      <c r="C22">
        <f t="shared" si="0"/>
        <v>1096</v>
      </c>
      <c r="D22">
        <v>2.407</v>
      </c>
      <c r="E22">
        <v>2.448</v>
      </c>
      <c r="F22">
        <f t="shared" si="1"/>
        <v>2.4275000000000002</v>
      </c>
      <c r="G22">
        <f t="shared" si="2"/>
        <v>0.93118202694530383</v>
      </c>
    </row>
    <row r="23" spans="1:7" x14ac:dyDescent="0.25">
      <c r="A23" t="s">
        <v>26</v>
      </c>
      <c r="B23" s="2">
        <f t="shared" si="3"/>
        <v>47557</v>
      </c>
      <c r="C23">
        <f t="shared" si="0"/>
        <v>1461</v>
      </c>
      <c r="D23">
        <v>2.456</v>
      </c>
      <c r="E23">
        <v>2.4969999999999999</v>
      </c>
      <c r="F23">
        <f t="shared" si="1"/>
        <v>2.4764999999999997</v>
      </c>
      <c r="G23">
        <f t="shared" si="2"/>
        <v>0.90867405486823838</v>
      </c>
    </row>
    <row r="24" spans="1:7" x14ac:dyDescent="0.25">
      <c r="A24" t="s">
        <v>27</v>
      </c>
      <c r="B24" s="2">
        <f t="shared" si="3"/>
        <v>47922</v>
      </c>
      <c r="C24">
        <f t="shared" si="0"/>
        <v>1826</v>
      </c>
      <c r="D24">
        <v>2.5089999999999999</v>
      </c>
      <c r="E24">
        <v>2.5499999999999998</v>
      </c>
      <c r="F24">
        <f t="shared" si="1"/>
        <v>2.5294999999999996</v>
      </c>
      <c r="G24">
        <f t="shared" si="2"/>
        <v>0.88628764559090245</v>
      </c>
    </row>
    <row r="25" spans="1:7" x14ac:dyDescent="0.25">
      <c r="A25" t="s">
        <v>28</v>
      </c>
      <c r="B25" s="2">
        <f t="shared" si="3"/>
        <v>48288</v>
      </c>
      <c r="C25">
        <f t="shared" si="0"/>
        <v>2192</v>
      </c>
      <c r="D25">
        <v>2.5649999999999999</v>
      </c>
      <c r="E25">
        <v>2.6059999999999999</v>
      </c>
      <c r="F25">
        <f t="shared" si="1"/>
        <v>2.5854999999999997</v>
      </c>
      <c r="G25">
        <f t="shared" si="2"/>
        <v>0.86398446210343349</v>
      </c>
    </row>
    <row r="26" spans="1:7" x14ac:dyDescent="0.25">
      <c r="A26" t="s">
        <v>29</v>
      </c>
      <c r="B26" s="2">
        <f t="shared" si="3"/>
        <v>48653</v>
      </c>
      <c r="C26">
        <f t="shared" si="0"/>
        <v>2557</v>
      </c>
      <c r="D26">
        <v>2.621</v>
      </c>
      <c r="E26">
        <v>2.6619999999999999</v>
      </c>
      <c r="F26">
        <f t="shared" si="1"/>
        <v>2.6414999999999997</v>
      </c>
      <c r="G26">
        <f t="shared" si="2"/>
        <v>0.84202026342814451</v>
      </c>
    </row>
    <row r="27" spans="1:7" x14ac:dyDescent="0.25">
      <c r="A27" t="s">
        <v>30</v>
      </c>
      <c r="B27" s="2">
        <f t="shared" si="3"/>
        <v>49018</v>
      </c>
      <c r="C27">
        <f t="shared" si="0"/>
        <v>2922</v>
      </c>
      <c r="D27">
        <v>2.68</v>
      </c>
      <c r="E27">
        <v>2.7210000000000001</v>
      </c>
      <c r="F27">
        <f t="shared" si="1"/>
        <v>2.7004999999999999</v>
      </c>
      <c r="G27">
        <f t="shared" si="2"/>
        <v>0.82021630881198704</v>
      </c>
    </row>
    <row r="28" spans="1:7" x14ac:dyDescent="0.25">
      <c r="A28" t="s">
        <v>31</v>
      </c>
      <c r="B28" s="2">
        <f t="shared" si="3"/>
        <v>49383</v>
      </c>
      <c r="C28">
        <f t="shared" si="0"/>
        <v>3287</v>
      </c>
      <c r="D28">
        <v>2.7360000000000002</v>
      </c>
      <c r="E28">
        <v>2.7770000000000001</v>
      </c>
      <c r="F28">
        <f t="shared" si="1"/>
        <v>2.7565</v>
      </c>
      <c r="G28">
        <f t="shared" si="2"/>
        <v>0.79892384070963252</v>
      </c>
    </row>
    <row r="29" spans="1:7" x14ac:dyDescent="0.25">
      <c r="A29" t="s">
        <v>32</v>
      </c>
      <c r="B29" s="2">
        <f t="shared" si="3"/>
        <v>49749</v>
      </c>
      <c r="C29">
        <f t="shared" si="0"/>
        <v>3653</v>
      </c>
      <c r="D29">
        <v>2.7879999999999998</v>
      </c>
      <c r="E29">
        <v>2.8290000000000002</v>
      </c>
      <c r="F29">
        <f t="shared" si="1"/>
        <v>2.8085</v>
      </c>
      <c r="G29">
        <f t="shared" si="2"/>
        <v>0.77821936082012044</v>
      </c>
    </row>
    <row r="30" spans="1:7" x14ac:dyDescent="0.25">
      <c r="A30" t="s">
        <v>33</v>
      </c>
      <c r="B30" s="2">
        <f t="shared" si="3"/>
        <v>50114</v>
      </c>
      <c r="C30">
        <f t="shared" si="0"/>
        <v>4018</v>
      </c>
      <c r="D30">
        <v>2.8370000000000002</v>
      </c>
      <c r="E30">
        <v>2.8780000000000001</v>
      </c>
      <c r="F30">
        <f t="shared" si="1"/>
        <v>2.8574999999999999</v>
      </c>
      <c r="G30">
        <f t="shared" si="2"/>
        <v>0.75819106983603168</v>
      </c>
    </row>
    <row r="31" spans="1:7" x14ac:dyDescent="0.25">
      <c r="A31" t="s">
        <v>34</v>
      </c>
      <c r="B31" s="2">
        <f t="shared" si="3"/>
        <v>50479</v>
      </c>
      <c r="C31">
        <f t="shared" si="0"/>
        <v>4383</v>
      </c>
      <c r="D31">
        <v>2.8820000000000001</v>
      </c>
      <c r="E31">
        <v>2.923</v>
      </c>
      <c r="F31">
        <f t="shared" si="1"/>
        <v>2.9024999999999999</v>
      </c>
      <c r="G31">
        <f t="shared" si="2"/>
        <v>0.73889111839021482</v>
      </c>
    </row>
    <row r="32" spans="1:7" x14ac:dyDescent="0.25">
      <c r="A32" t="s">
        <v>35</v>
      </c>
      <c r="B32" s="2">
        <f t="shared" si="3"/>
        <v>51575</v>
      </c>
      <c r="C32">
        <f t="shared" si="0"/>
        <v>5479</v>
      </c>
      <c r="D32">
        <v>2.988</v>
      </c>
      <c r="E32">
        <v>3.0289999999999999</v>
      </c>
      <c r="F32">
        <f t="shared" si="1"/>
        <v>3.0084999999999997</v>
      </c>
      <c r="G32">
        <f t="shared" si="2"/>
        <v>0.68592892920787596</v>
      </c>
    </row>
    <row r="33" spans="1:7" x14ac:dyDescent="0.25">
      <c r="A33" t="s">
        <v>36</v>
      </c>
      <c r="B33" s="2">
        <f t="shared" si="3"/>
        <v>53401</v>
      </c>
      <c r="C33">
        <f t="shared" si="0"/>
        <v>7305</v>
      </c>
      <c r="D33">
        <v>3.0459999999999998</v>
      </c>
      <c r="E33">
        <v>3.0870000000000002</v>
      </c>
      <c r="F33">
        <f t="shared" si="1"/>
        <v>3.0665</v>
      </c>
      <c r="G33">
        <f t="shared" si="2"/>
        <v>0.61643009663440729</v>
      </c>
    </row>
    <row r="34" spans="1:7" x14ac:dyDescent="0.25">
      <c r="A34" t="s">
        <v>37</v>
      </c>
      <c r="B34" s="2">
        <f t="shared" si="3"/>
        <v>55227</v>
      </c>
      <c r="C34">
        <f t="shared" si="0"/>
        <v>9131</v>
      </c>
      <c r="D34">
        <v>3.0350000000000001</v>
      </c>
      <c r="E34">
        <v>3.0760000000000001</v>
      </c>
      <c r="F34">
        <f t="shared" si="1"/>
        <v>3.0555000000000003</v>
      </c>
      <c r="G34">
        <f t="shared" si="2"/>
        <v>0.56338230510546194</v>
      </c>
    </row>
    <row r="35" spans="1:7" x14ac:dyDescent="0.25">
      <c r="A35" t="s">
        <v>38</v>
      </c>
      <c r="B35" s="2">
        <f t="shared" si="3"/>
        <v>57054</v>
      </c>
      <c r="C35">
        <f t="shared" si="0"/>
        <v>10958</v>
      </c>
      <c r="D35">
        <v>2.9990000000000001</v>
      </c>
      <c r="E35">
        <v>3.04</v>
      </c>
      <c r="F35">
        <f t="shared" si="1"/>
        <v>3.0194999999999999</v>
      </c>
      <c r="G35">
        <f t="shared" si="2"/>
        <v>0.52107697752946724</v>
      </c>
    </row>
    <row r="36" spans="1:7" x14ac:dyDescent="0.25">
      <c r="A36" t="s">
        <v>39</v>
      </c>
      <c r="B36" s="2">
        <f t="shared" si="3"/>
        <v>60706</v>
      </c>
      <c r="C36">
        <f t="shared" si="0"/>
        <v>14610</v>
      </c>
      <c r="D36">
        <v>2.9</v>
      </c>
      <c r="E36">
        <v>2.9409999999999998</v>
      </c>
      <c r="F36">
        <f t="shared" si="1"/>
        <v>2.9204999999999997</v>
      </c>
      <c r="G36">
        <f t="shared" si="2"/>
        <v>0.45761642476871778</v>
      </c>
    </row>
    <row r="37" spans="1:7" x14ac:dyDescent="0.25">
      <c r="A37" t="s">
        <v>40</v>
      </c>
      <c r="B37" s="2">
        <f t="shared" si="3"/>
        <v>64359</v>
      </c>
      <c r="C37">
        <f t="shared" si="0"/>
        <v>18263</v>
      </c>
      <c r="D37">
        <v>2.8142999999999998</v>
      </c>
      <c r="E37">
        <v>2.8243</v>
      </c>
      <c r="F37">
        <f t="shared" si="1"/>
        <v>2.8193000000000001</v>
      </c>
      <c r="G37">
        <f t="shared" si="2"/>
        <v>0.41148088405145461</v>
      </c>
    </row>
    <row r="38" spans="1:7" x14ac:dyDescent="0.25">
      <c r="A38" t="s">
        <v>41</v>
      </c>
      <c r="B38" s="2">
        <f t="shared" si="3"/>
        <v>68011</v>
      </c>
      <c r="C38">
        <f t="shared" si="0"/>
        <v>21915</v>
      </c>
      <c r="D38">
        <v>2.7286999999999999</v>
      </c>
      <c r="E38">
        <v>2.7387000000000001</v>
      </c>
      <c r="F38">
        <f t="shared" si="1"/>
        <v>2.7336999999999998</v>
      </c>
      <c r="G38">
        <f t="shared" si="2"/>
        <v>0.37535566708936408</v>
      </c>
    </row>
  </sheetData>
  <pageMargins left="0.7" right="0.7" top="0.75" bottom="0.75" header="0.3" footer="0.3"/>
  <ignoredErrors>
    <ignoredError sqref="D1:H1 D2:D3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discount_curve_EUR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Guillem Borras Espert</cp:lastModifiedBy>
  <dcterms:modified xsi:type="dcterms:W3CDTF">2026-03-16T12:13:11Z</dcterms:modified>
</cp:coreProperties>
</file>