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uilb\Desktop\Quantum-CVA\data\loaded_market_data\"/>
    </mc:Choice>
  </mc:AlternateContent>
  <xr:revisionPtr revIDLastSave="0" documentId="13_ncr:1_{77E74769-E5A8-400A-9228-3F086AC55730}" xr6:coauthVersionLast="47" xr6:coauthVersionMax="47" xr10:uidLastSave="{00000000-0000-0000-0000-000000000000}"/>
  <bookViews>
    <workbookView xWindow="30615" yWindow="1815" windowWidth="21600" windowHeight="112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B4" i="1" a="1"/>
  <c r="B2" i="1" a="1"/>
  <c r="B3" i="1" a="1"/>
  <c r="B4" i="1" l="1"/>
  <c r="B2" i="1"/>
  <c r="D2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<sst xmlns="http://schemas.openxmlformats.org/spreadsheetml/2006/main" count="5" uniqueCount="5">
  <si>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FTSE100 - DY:</t>
  </si>
  <si>
    <t>EUROSTOXX50 - DY:</t>
  </si>
  <si>
    <t>SMI - DY:</t>
  </si>
  <si>
    <t>DIVIDEND YIELDS (%)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</si>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</sst>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tr">
      <tp>
        <v>3.1630600000000002</v>
        <stp/>
        <stp>3</stp>
        <stp>86628250</stp>
        <tr r="B4" s="1"/>
      </tp>
      <tp>
        <v>2.8783099999999999</v>
        <stp/>
        <stp>7</stp>
        <stp>86628250</stp>
        <tr r="B2" s="1"/>
      </tp>
      <tp>
        <v>2.24722</v>
        <stp/>
        <stp>8</stp>
        <stp>86628250</stp>
        <tr r="B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G14" sqref="G14"/>
    </sheetView>
  </sheetViews>
  <sheetFormatPr baseColWidth="10" defaultColWidth="9.140625" defaultRowHeight="15" x14ac:dyDescent="0.25"/>
  <cols>
    <col min="1" max="1" width="19" bestFit="1" customWidth="1"/>
    <col min="26" max="26" width="10.7109375" bestFit="1" customWidth="1"/>
  </cols>
  <sheetData>
    <row r="1" spans="1:26" x14ac:dyDescent="0.25">
      <c r="A1" s="1" t="s">
        <v>3</v>
      </c>
      <c r="Z1" s="2" t="s">
        <v>4</v>
      </c>
    </row>
    <row r="2" spans="1:26" x14ac:dyDescent="0.25">
      <c r="A2" t="s">
        <v>1</v>
      </c>
      <c r="B2" cm="1">
        <f t="array" ref="B2">_xll.TR(".STOXX50E", "TR.Index_DIV_YLD_RTRS", "SDate=2026-03-13")</f>
        <v>2.8783099999999999</v>
      </c>
      <c r="D2">
        <f>B2/100</f>
        <v>2.8783099999999999E-2</v>
      </c>
      <c r="Z2" s="3">
        <v>46096</v>
      </c>
    </row>
    <row r="3" spans="1:26" x14ac:dyDescent="0.25">
      <c r="A3" t="s">
        <v>0</v>
      </c>
      <c r="B3" cm="1">
        <f t="array" ref="B3">_xll.TR(".FTSE", "TR.Index_DIV_YLD_RTRS", "SDate=2026-03-13")</f>
        <v>2.24722</v>
      </c>
      <c r="D3">
        <f t="shared" ref="D3:D4" si="0">B3/100</f>
        <v>2.2472200000000001E-2</v>
      </c>
    </row>
    <row r="4" spans="1:26" x14ac:dyDescent="0.25">
      <c r="A4" t="s">
        <v>2</v>
      </c>
      <c r="B4" cm="1">
        <f t="array" ref="B4">_xll.TR(".SSMI", "TR.Index_DIV_YLD_RTRS", "SDate=2026-03-13")</f>
        <v>3.1630600000000002</v>
      </c>
      <c r="D4">
        <f t="shared" si="0"/>
        <v>3.1630600000000002E-2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BP</dc:creator>
  <cp:lastModifiedBy>Guillem Borras Espert</cp:lastModifiedBy>
  <dcterms:created xsi:type="dcterms:W3CDTF">2015-06-05T18:19:34Z</dcterms:created>
  <dcterms:modified xsi:type="dcterms:W3CDTF">2026-03-16T12:51:06Z</dcterms:modified>
</cp:coreProperties>
</file>